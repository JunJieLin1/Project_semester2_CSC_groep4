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marco_vandenboogaard_hu_nl/Documents/Documents/Cursusjaar 2024-2025/CD. CSC S2/Lesmateriaal/Project/"/>
    </mc:Choice>
  </mc:AlternateContent>
  <xr:revisionPtr revIDLastSave="10" documentId="13_ncr:1_{717567B4-1763-4D34-9F8D-B87BAC10AE7D}" xr6:coauthVersionLast="47" xr6:coauthVersionMax="47" xr10:uidLastSave="{A17EA118-A624-4983-A2B2-88E2F835ABDA}"/>
  <bookViews>
    <workbookView xWindow="-120" yWindow="-120" windowWidth="29040" windowHeight="15720" xr2:uid="{00000000-000D-0000-FFFF-FFFF00000000}"/>
  </bookViews>
  <sheets>
    <sheet name="Teamopdracht" sheetId="2" r:id="rId1"/>
    <sheet name="Individuele opdrachtenpunten" sheetId="3" r:id="rId2"/>
    <sheet name="Overzicht alle opdrachten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3" l="1"/>
  <c r="H35" i="3"/>
  <c r="G35" i="3"/>
  <c r="F35" i="3"/>
  <c r="E35" i="3"/>
  <c r="D35" i="3"/>
  <c r="A27" i="3" a="1"/>
  <c r="A27" i="3" s="1"/>
  <c r="A28" i="3" a="1"/>
  <c r="A28" i="3" s="1"/>
  <c r="A29" i="3" a="1"/>
  <c r="A29" i="3" s="1"/>
  <c r="A30" i="3" a="1"/>
  <c r="A30" i="3" s="1"/>
  <c r="A23" i="3" a="1"/>
  <c r="A23" i="3" s="1"/>
  <c r="A24" i="3" a="1"/>
  <c r="A24" i="3" s="1"/>
  <c r="A25" i="3" a="1"/>
  <c r="A25" i="3" s="1"/>
  <c r="A26" i="3" a="1"/>
  <c r="A26" i="3" s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" i="3" a="1"/>
  <c r="A2" i="3" s="1"/>
  <c r="I1" i="3"/>
  <c r="H1" i="3"/>
  <c r="G1" i="3"/>
  <c r="F1" i="3"/>
  <c r="E1" i="3"/>
  <c r="D1" i="3"/>
  <c r="A14" i="2"/>
  <c r="A15" i="2"/>
  <c r="A16" i="2"/>
  <c r="A17" i="2"/>
  <c r="A13" i="2"/>
  <c r="H17" i="2"/>
  <c r="H18" i="2"/>
  <c r="H19" i="2"/>
  <c r="H20" i="2"/>
  <c r="H5" i="2"/>
  <c r="H6" i="2"/>
  <c r="H7" i="2"/>
  <c r="H8" i="2"/>
  <c r="H9" i="2"/>
  <c r="H10" i="2"/>
  <c r="H11" i="2"/>
  <c r="H12" i="2"/>
  <c r="H13" i="2"/>
  <c r="H14" i="2"/>
  <c r="H15" i="2"/>
  <c r="H16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<sst xmlns="http://schemas.openxmlformats.org/spreadsheetml/2006/main" count="142" uniqueCount="88">
  <si>
    <t>Verplicht</t>
  </si>
  <si>
    <t>Onderdeel</t>
  </si>
  <si>
    <t>Optioneel</t>
  </si>
  <si>
    <t>Punten</t>
  </si>
  <si>
    <t>Demo draaiboek</t>
  </si>
  <si>
    <t>Algemeen</t>
  </si>
  <si>
    <t>Ansible</t>
  </si>
  <si>
    <t>Infra</t>
  </si>
  <si>
    <t>Documentatie</t>
  </si>
  <si>
    <t>FRR Routing</t>
  </si>
  <si>
    <t>Handleiding</t>
  </si>
  <si>
    <t>IDM</t>
  </si>
  <si>
    <t>IP Plan</t>
  </si>
  <si>
    <t>Let's Encrypt Certificaat</t>
  </si>
  <si>
    <t>Netwerk-tekening</t>
  </si>
  <si>
    <t>LXC en/of Docker containers</t>
  </si>
  <si>
    <t>ACL</t>
  </si>
  <si>
    <t>Monitoring (Grafana. Prometheus, SNMP)</t>
  </si>
  <si>
    <t>IPv6</t>
  </si>
  <si>
    <t>OSPF (Multi) of BGP</t>
  </si>
  <si>
    <t>NAT/PAT</t>
  </si>
  <si>
    <t>Proxy</t>
  </si>
  <si>
    <t>Proxmox (2x) in cluster</t>
  </si>
  <si>
    <t>Security</t>
  </si>
  <si>
    <t>TrueNas als shared storage</t>
  </si>
  <si>
    <t>VRRP</t>
  </si>
  <si>
    <t>VM's Migreren</t>
  </si>
  <si>
    <t>2e Mailserver</t>
  </si>
  <si>
    <t>Linux</t>
  </si>
  <si>
    <t>VYOS met RIP of OSPF</t>
  </si>
  <si>
    <t>Crontab</t>
  </si>
  <si>
    <t xml:space="preserve">Mail </t>
  </si>
  <si>
    <t>DHCP op Linux</t>
  </si>
  <si>
    <t>SSH ww+username</t>
  </si>
  <si>
    <t>DNS op Linux</t>
  </si>
  <si>
    <t>Webserver+CMS</t>
  </si>
  <si>
    <t>DNSSec Linux</t>
  </si>
  <si>
    <t>DHCP met Relay</t>
  </si>
  <si>
    <t>Windows</t>
  </si>
  <si>
    <t>NFS op Linux</t>
  </si>
  <si>
    <t>DNS+Reverse</t>
  </si>
  <si>
    <t>SMB op Linux</t>
  </si>
  <si>
    <t>Domain controllers (GUI+Core)</t>
  </si>
  <si>
    <t>SSH public key</t>
  </si>
  <si>
    <t>GPO</t>
  </si>
  <si>
    <t>Subdomein in Linux DNS</t>
  </si>
  <si>
    <t>Storage / SMB</t>
  </si>
  <si>
    <t>DAC</t>
  </si>
  <si>
    <t>Users met homefolders en Profielen</t>
  </si>
  <si>
    <t>DNSSec Windows</t>
  </si>
  <si>
    <t>Windows 10 in het domein</t>
  </si>
  <si>
    <t>Eigen Certificate Autority (CA)</t>
  </si>
  <si>
    <t>VPN (OpenVPN, SSTP (PSK), WG)</t>
  </si>
  <si>
    <t>Windows / Linux</t>
  </si>
  <si>
    <t>RDP</t>
  </si>
  <si>
    <t>Subdomein in Windows Domein</t>
  </si>
  <si>
    <t>Load-balancer</t>
  </si>
  <si>
    <t>RAID / LVM</t>
  </si>
  <si>
    <t>Redundante DHCP</t>
  </si>
  <si>
    <t>Script</t>
  </si>
  <si>
    <t>VPN Site to Site</t>
  </si>
  <si>
    <t>Naam Team</t>
  </si>
  <si>
    <t>Naam student 1</t>
  </si>
  <si>
    <t>URL Scrumbord (Trello,…)</t>
  </si>
  <si>
    <t>Naam student 2</t>
  </si>
  <si>
    <t>Naam student 3</t>
  </si>
  <si>
    <t>Naam student 4</t>
  </si>
  <si>
    <t>Naam student 5</t>
  </si>
  <si>
    <t>Naam student 6</t>
  </si>
  <si>
    <t>Beoordelingsformulier project</t>
  </si>
  <si>
    <t>Sprint4</t>
  </si>
  <si>
    <t>Sprint5</t>
  </si>
  <si>
    <t>Sprint6</t>
  </si>
  <si>
    <t>Sprint7</t>
  </si>
  <si>
    <t>Sprint8</t>
  </si>
  <si>
    <t>Onderwerp</t>
  </si>
  <si>
    <t>aantekeningen/opmerkingen sprint4</t>
  </si>
  <si>
    <t>aantekeningen/opmerkingen sprint7</t>
  </si>
  <si>
    <t>aantekeningen/opmerkingen sprint6</t>
  </si>
  <si>
    <t>aantekeningen/opmerkingen sprint5</t>
  </si>
  <si>
    <t>Afgerond</t>
  </si>
  <si>
    <t>Nog niet volledig</t>
  </si>
  <si>
    <t>Niet afgerond</t>
  </si>
  <si>
    <t>Opmerkingen</t>
  </si>
  <si>
    <t xml:space="preserve">Onderdeel </t>
  </si>
  <si>
    <t>Max punten</t>
  </si>
  <si>
    <t>Na overleg Docent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</si>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</sst>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3CAA-BFA1-4B9D-9DED-E7A482CCF6E4}">
  <dimension ref="A1:L22"/>
  <sheetViews>
    <sheetView tabSelected="1" workbookViewId="0">
      <selection activeCell="H2" sqref="H2:L21"/>
    </sheetView>
  </sheetViews>
  <sheetFormatPr defaultRowHeight="15" x14ac:dyDescent="0.25"/>
  <cols>
    <col min="1" max="1" width="34.42578125" bestFit="1" customWidth="1"/>
    <col min="6" max="6" width="34.7109375" customWidth="1"/>
    <col min="8" max="8" width="30.7109375" bestFit="1" customWidth="1"/>
    <col min="9" max="9" width="14.28515625" customWidth="1"/>
    <col min="10" max="10" width="14.7109375" bestFit="1" customWidth="1"/>
    <col min="11" max="11" width="12.28515625" bestFit="1" customWidth="1"/>
    <col min="12" max="12" width="24.42578125" customWidth="1"/>
  </cols>
  <sheetData>
    <row r="1" spans="1:12" x14ac:dyDescent="0.25">
      <c r="A1" s="2" t="s">
        <v>69</v>
      </c>
      <c r="B1" s="4"/>
      <c r="C1" s="5"/>
      <c r="D1" s="5"/>
      <c r="E1" s="5"/>
      <c r="F1" s="6"/>
    </row>
    <row r="2" spans="1:12" x14ac:dyDescent="0.25">
      <c r="A2" s="1" t="s">
        <v>61</v>
      </c>
      <c r="B2" s="7"/>
      <c r="C2" s="7"/>
      <c r="D2" s="7"/>
      <c r="E2" s="7"/>
      <c r="F2" s="7"/>
      <c r="H2" s="2" t="s">
        <v>75</v>
      </c>
      <c r="I2" s="2" t="s">
        <v>80</v>
      </c>
      <c r="J2" s="2" t="s">
        <v>81</v>
      </c>
      <c r="K2" s="2" t="s">
        <v>82</v>
      </c>
      <c r="L2" s="2" t="s">
        <v>83</v>
      </c>
    </row>
    <row r="3" spans="1:12" x14ac:dyDescent="0.25">
      <c r="A3" s="1" t="s">
        <v>63</v>
      </c>
      <c r="B3" s="7"/>
      <c r="C3" s="7"/>
      <c r="D3" s="7"/>
      <c r="E3" s="7"/>
      <c r="F3" s="7"/>
      <c r="H3" s="1" t="str">
        <f>'Overzicht alle opdrachten'!B7</f>
        <v>ACL</v>
      </c>
      <c r="I3" s="1"/>
      <c r="J3" s="1"/>
      <c r="K3" s="1"/>
      <c r="L3" s="1"/>
    </row>
    <row r="4" spans="1:12" x14ac:dyDescent="0.25">
      <c r="A4" s="1" t="s">
        <v>62</v>
      </c>
      <c r="B4" s="7"/>
      <c r="C4" s="7"/>
      <c r="D4" s="7"/>
      <c r="E4" s="7"/>
      <c r="F4" s="7"/>
      <c r="H4" s="1" t="str">
        <f>'Overzicht alle opdrachten'!B8</f>
        <v>IPv6</v>
      </c>
      <c r="I4" s="1"/>
      <c r="J4" s="1"/>
      <c r="K4" s="1"/>
      <c r="L4" s="1"/>
    </row>
    <row r="5" spans="1:12" x14ac:dyDescent="0.25">
      <c r="A5" s="1" t="s">
        <v>64</v>
      </c>
      <c r="B5" s="7"/>
      <c r="C5" s="7"/>
      <c r="D5" s="7"/>
      <c r="E5" s="7"/>
      <c r="F5" s="7"/>
      <c r="H5" s="1" t="str">
        <f>'Overzicht alle opdrachten'!B9</f>
        <v>NAT/PAT</v>
      </c>
      <c r="I5" s="1"/>
      <c r="J5" s="1"/>
      <c r="K5" s="1"/>
      <c r="L5" s="1"/>
    </row>
    <row r="6" spans="1:12" x14ac:dyDescent="0.25">
      <c r="A6" s="1" t="s">
        <v>65</v>
      </c>
      <c r="B6" s="7"/>
      <c r="C6" s="7"/>
      <c r="D6" s="7"/>
      <c r="E6" s="7"/>
      <c r="F6" s="7"/>
      <c r="H6" s="1" t="str">
        <f>'Overzicht alle opdrachten'!B10</f>
        <v>Proxmox (2x) in cluster</v>
      </c>
      <c r="I6" s="1"/>
      <c r="J6" s="1"/>
      <c r="K6" s="1"/>
      <c r="L6" s="1"/>
    </row>
    <row r="7" spans="1:12" x14ac:dyDescent="0.25">
      <c r="A7" s="1" t="s">
        <v>66</v>
      </c>
      <c r="B7" s="7"/>
      <c r="C7" s="7"/>
      <c r="D7" s="7"/>
      <c r="E7" s="7"/>
      <c r="F7" s="7"/>
      <c r="H7" s="1" t="str">
        <f>'Overzicht alle opdrachten'!B11</f>
        <v>TrueNas als shared storage</v>
      </c>
      <c r="I7" s="1"/>
      <c r="J7" s="1"/>
      <c r="K7" s="1"/>
      <c r="L7" s="1"/>
    </row>
    <row r="8" spans="1:12" x14ac:dyDescent="0.25">
      <c r="A8" s="1" t="s">
        <v>67</v>
      </c>
      <c r="B8" s="7"/>
      <c r="C8" s="7"/>
      <c r="D8" s="7"/>
      <c r="E8" s="7"/>
      <c r="F8" s="7"/>
      <c r="H8" s="1" t="str">
        <f>'Overzicht alle opdrachten'!B12</f>
        <v>VM's Migreren</v>
      </c>
      <c r="I8" s="1"/>
      <c r="J8" s="1"/>
      <c r="K8" s="1"/>
      <c r="L8" s="1"/>
    </row>
    <row r="9" spans="1:12" x14ac:dyDescent="0.25">
      <c r="A9" s="1" t="s">
        <v>68</v>
      </c>
      <c r="B9" s="7"/>
      <c r="C9" s="7"/>
      <c r="D9" s="7"/>
      <c r="E9" s="7"/>
      <c r="F9" s="7"/>
      <c r="H9" s="1" t="str">
        <f>'Overzicht alle opdrachten'!B13</f>
        <v>VYOS met RIP of OSPF</v>
      </c>
      <c r="I9" s="1"/>
      <c r="J9" s="1"/>
      <c r="K9" s="1"/>
      <c r="L9" s="1"/>
    </row>
    <row r="10" spans="1:12" x14ac:dyDescent="0.25">
      <c r="H10" s="1" t="str">
        <f>'Overzicht alle opdrachten'!B14</f>
        <v xml:space="preserve">Mail </v>
      </c>
      <c r="I10" s="1"/>
      <c r="J10" s="1"/>
      <c r="K10" s="1"/>
      <c r="L10" s="1"/>
    </row>
    <row r="11" spans="1:12" x14ac:dyDescent="0.25">
      <c r="H11" s="1" t="str">
        <f>'Overzicht alle opdrachten'!B15</f>
        <v>SSH ww+username</v>
      </c>
      <c r="I11" s="1"/>
      <c r="J11" s="1"/>
      <c r="K11" s="1"/>
      <c r="L11" s="1"/>
    </row>
    <row r="12" spans="1:12" x14ac:dyDescent="0.25">
      <c r="A12" s="2" t="s">
        <v>8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H12" s="1" t="str">
        <f>'Overzicht alle opdrachten'!B16</f>
        <v>Webserver+CMS</v>
      </c>
      <c r="I12" s="1"/>
      <c r="J12" s="1"/>
      <c r="K12" s="1"/>
      <c r="L12" s="1"/>
    </row>
    <row r="13" spans="1:12" x14ac:dyDescent="0.25">
      <c r="A13" s="1" t="str">
        <f>'Overzicht alle opdrachten'!B2</f>
        <v>Demo draaiboek</v>
      </c>
      <c r="B13" s="1"/>
      <c r="C13" s="1"/>
      <c r="D13" s="1"/>
      <c r="E13" s="1"/>
      <c r="F13" s="1"/>
      <c r="H13" s="1" t="str">
        <f>'Overzicht alle opdrachten'!B17</f>
        <v>DHCP met Relay</v>
      </c>
      <c r="I13" s="1"/>
      <c r="J13" s="1"/>
      <c r="K13" s="1"/>
      <c r="L13" s="1"/>
    </row>
    <row r="14" spans="1:12" x14ac:dyDescent="0.25">
      <c r="A14" s="1" t="str">
        <f>'Overzicht alle opdrachten'!B3</f>
        <v>Documentatie</v>
      </c>
      <c r="B14" s="1"/>
      <c r="C14" s="1"/>
      <c r="D14" s="1"/>
      <c r="E14" s="1"/>
      <c r="F14" s="1"/>
      <c r="H14" s="1" t="str">
        <f>'Overzicht alle opdrachten'!B18</f>
        <v>DNS+Reverse</v>
      </c>
      <c r="I14" s="1"/>
      <c r="J14" s="1"/>
      <c r="K14" s="1"/>
      <c r="L14" s="1"/>
    </row>
    <row r="15" spans="1:12" x14ac:dyDescent="0.25">
      <c r="A15" s="1" t="str">
        <f>'Overzicht alle opdrachten'!B4</f>
        <v>Handleiding</v>
      </c>
      <c r="B15" s="1"/>
      <c r="C15" s="1"/>
      <c r="D15" s="1"/>
      <c r="E15" s="1"/>
      <c r="F15" s="1"/>
      <c r="H15" s="1" t="str">
        <f>'Overzicht alle opdrachten'!B19</f>
        <v>Domain controllers (GUI+Core)</v>
      </c>
      <c r="I15" s="1"/>
      <c r="J15" s="1"/>
      <c r="K15" s="1"/>
      <c r="L15" s="1"/>
    </row>
    <row r="16" spans="1:12" x14ac:dyDescent="0.25">
      <c r="A16" s="1" t="str">
        <f>'Overzicht alle opdrachten'!B5</f>
        <v>IP Plan</v>
      </c>
      <c r="B16" s="1"/>
      <c r="C16" s="1"/>
      <c r="D16" s="1"/>
      <c r="E16" s="1"/>
      <c r="F16" s="1"/>
      <c r="H16" s="1" t="str">
        <f>'Overzicht alle opdrachten'!B20</f>
        <v>GPO</v>
      </c>
      <c r="I16" s="1"/>
      <c r="J16" s="1"/>
      <c r="K16" s="1"/>
      <c r="L16" s="1"/>
    </row>
    <row r="17" spans="1:12" x14ac:dyDescent="0.25">
      <c r="A17" s="1" t="str">
        <f>'Overzicht alle opdrachten'!B6</f>
        <v>Netwerk-tekening</v>
      </c>
      <c r="B17" s="1"/>
      <c r="C17" s="1"/>
      <c r="D17" s="1"/>
      <c r="E17" s="1"/>
      <c r="F17" s="1"/>
      <c r="H17" s="1" t="str">
        <f>'Overzicht alle opdrachten'!B21</f>
        <v>Storage / SMB</v>
      </c>
      <c r="I17" s="1"/>
      <c r="J17" s="1"/>
      <c r="K17" s="1"/>
      <c r="L17" s="1"/>
    </row>
    <row r="18" spans="1:12" x14ac:dyDescent="0.25">
      <c r="A18" s="1" t="s">
        <v>76</v>
      </c>
      <c r="B18" s="8" t="s">
        <v>87</v>
      </c>
      <c r="C18" s="7"/>
      <c r="D18" s="7"/>
      <c r="E18" s="7"/>
      <c r="F18" s="7"/>
      <c r="H18" s="1" t="str">
        <f>'Overzicht alle opdrachten'!B22</f>
        <v>Users met homefolders en Profielen</v>
      </c>
      <c r="I18" s="1"/>
      <c r="J18" s="1"/>
      <c r="K18" s="1"/>
      <c r="L18" s="1"/>
    </row>
    <row r="19" spans="1:12" x14ac:dyDescent="0.25">
      <c r="A19" s="1" t="s">
        <v>79</v>
      </c>
      <c r="B19" s="8" t="s">
        <v>87</v>
      </c>
      <c r="C19" s="7"/>
      <c r="D19" s="7"/>
      <c r="E19" s="7"/>
      <c r="F19" s="7"/>
      <c r="H19" s="1" t="str">
        <f>'Overzicht alle opdrachten'!B23</f>
        <v>Windows 10 in het domein</v>
      </c>
      <c r="I19" s="1"/>
      <c r="J19" s="1"/>
      <c r="K19" s="1"/>
      <c r="L19" s="1"/>
    </row>
    <row r="20" spans="1:12" x14ac:dyDescent="0.25">
      <c r="A20" s="1" t="s">
        <v>78</v>
      </c>
      <c r="B20" s="7"/>
      <c r="C20" s="7"/>
      <c r="D20" s="7"/>
      <c r="E20" s="7"/>
      <c r="F20" s="7"/>
      <c r="H20" s="1" t="str">
        <f>'Overzicht alle opdrachten'!B24</f>
        <v>VPN (OpenVPN, SSTP (PSK), WG)</v>
      </c>
      <c r="I20" s="1"/>
      <c r="J20" s="1"/>
      <c r="K20" s="1"/>
      <c r="L20" s="1"/>
    </row>
    <row r="21" spans="1:12" x14ac:dyDescent="0.25">
      <c r="A21" s="1" t="s">
        <v>77</v>
      </c>
      <c r="B21" s="7"/>
      <c r="C21" s="7"/>
      <c r="D21" s="7"/>
      <c r="E21" s="7"/>
      <c r="F21" s="7"/>
      <c r="H21" s="1"/>
      <c r="I21" s="1"/>
      <c r="J21" s="1"/>
      <c r="K21" s="1"/>
      <c r="L21" s="1"/>
    </row>
    <row r="22" spans="1:12" x14ac:dyDescent="0.25">
      <c r="A22" s="1"/>
      <c r="B22" s="7"/>
      <c r="C22" s="7"/>
      <c r="D22" s="7"/>
      <c r="E22" s="7"/>
      <c r="F22" s="7"/>
      <c r="H22" s="1"/>
      <c r="I22" s="1"/>
      <c r="J22" s="1"/>
      <c r="K22" s="1"/>
      <c r="L22" s="1"/>
    </row>
  </sheetData>
  <mergeCells count="14">
    <mergeCell ref="B22:F22"/>
    <mergeCell ref="B21:F21"/>
    <mergeCell ref="B2:F2"/>
    <mergeCell ref="B3:F3"/>
    <mergeCell ref="B4:F4"/>
    <mergeCell ref="B5:F5"/>
    <mergeCell ref="B6:F6"/>
    <mergeCell ref="B7:F7"/>
    <mergeCell ref="B8:F8"/>
    <mergeCell ref="B1:F1"/>
    <mergeCell ref="B9:F9"/>
    <mergeCell ref="B18:F18"/>
    <mergeCell ref="B19:F19"/>
    <mergeCell ref="B20:F20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B552-D0BE-4E21-8433-ACB1E30912C3}">
  <dimension ref="A1:I35"/>
  <sheetViews>
    <sheetView workbookViewId="0">
      <selection activeCell="D4" sqref="D4"/>
    </sheetView>
  </sheetViews>
  <sheetFormatPr defaultRowHeight="15" x14ac:dyDescent="0.25"/>
  <cols>
    <col min="1" max="1" width="35.28515625" bestFit="1" customWidth="1"/>
    <col min="2" max="2" width="16.28515625" bestFit="1" customWidth="1"/>
    <col min="3" max="3" width="10.7109375" bestFit="1" customWidth="1"/>
  </cols>
  <sheetData>
    <row r="1" spans="1:9" x14ac:dyDescent="0.25">
      <c r="A1" s="3" t="s">
        <v>75</v>
      </c>
      <c r="B1" s="3" t="s">
        <v>84</v>
      </c>
      <c r="C1" s="3" t="s">
        <v>85</v>
      </c>
      <c r="D1" s="3">
        <f>Teamopdracht!$B4</f>
        <v>0</v>
      </c>
      <c r="E1" s="3">
        <f>Teamopdracht!$B5</f>
        <v>0</v>
      </c>
      <c r="F1" s="3">
        <f>Teamopdracht!$B6</f>
        <v>0</v>
      </c>
      <c r="G1" s="3">
        <f>Teamopdracht!$B7</f>
        <v>0</v>
      </c>
      <c r="H1" s="3">
        <f>Teamopdracht!$B8</f>
        <v>0</v>
      </c>
      <c r="I1" s="3">
        <f>Teamopdracht!$B9</f>
        <v>0</v>
      </c>
    </row>
    <row r="2" spans="1:9" x14ac:dyDescent="0.25">
      <c r="A2" s="1" t="str" cm="1">
        <f t="array" ref="A2:C2">'Overzicht alle opdrachten'!E2:G2</f>
        <v>Ansible</v>
      </c>
      <c r="B2" s="1" t="str">
        <v>Infra</v>
      </c>
      <c r="C2" s="1">
        <v>3</v>
      </c>
      <c r="D2" s="1"/>
      <c r="E2" s="1"/>
      <c r="F2" s="1"/>
      <c r="G2" s="1"/>
      <c r="H2" s="1"/>
      <c r="I2" s="1"/>
    </row>
    <row r="3" spans="1:9" x14ac:dyDescent="0.25">
      <c r="A3" s="1" t="str" cm="1">
        <f t="array" ref="A3:C3">'Overzicht alle opdrachten'!E3:G3</f>
        <v>FRR Routing</v>
      </c>
      <c r="B3" s="1" t="str">
        <v>Infra</v>
      </c>
      <c r="C3" s="1">
        <v>1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4">'Overzicht alle opdrachten'!E4:G4</f>
        <v>IDM</v>
      </c>
      <c r="B4" s="1" t="str">
        <v>Infra</v>
      </c>
      <c r="C4" s="1">
        <v>3</v>
      </c>
      <c r="D4" s="1"/>
      <c r="E4" s="1"/>
      <c r="F4" s="1"/>
      <c r="G4" s="1"/>
      <c r="H4" s="1"/>
      <c r="I4" s="1"/>
    </row>
    <row r="5" spans="1:9" x14ac:dyDescent="0.25">
      <c r="A5" s="1" t="str" cm="1">
        <f t="array" ref="A5:C5">'Overzicht alle opdrachten'!E5:G5</f>
        <v>Let's Encrypt Certificaat</v>
      </c>
      <c r="B5" s="1" t="str">
        <v>Infra</v>
      </c>
      <c r="C5" s="1">
        <v>3</v>
      </c>
      <c r="D5" s="1"/>
      <c r="E5" s="1"/>
      <c r="F5" s="1"/>
      <c r="G5" s="1"/>
      <c r="H5" s="1"/>
      <c r="I5" s="1"/>
    </row>
    <row r="6" spans="1:9" x14ac:dyDescent="0.25">
      <c r="A6" s="1" t="str" cm="1">
        <f t="array" ref="A6:C6">'Overzicht alle opdrachten'!E6:G6</f>
        <v>LXC en/of Docker containers</v>
      </c>
      <c r="B6" s="1" t="str">
        <v>Infra</v>
      </c>
      <c r="C6" s="1">
        <v>2</v>
      </c>
      <c r="D6" s="1"/>
      <c r="E6" s="1"/>
      <c r="F6" s="1"/>
      <c r="G6" s="1"/>
      <c r="H6" s="1"/>
      <c r="I6" s="1"/>
    </row>
    <row r="7" spans="1:9" x14ac:dyDescent="0.25">
      <c r="A7" s="1" t="str" cm="1">
        <f t="array" ref="A7:C7">'Overzicht alle opdrachten'!E7:G7</f>
        <v>Monitoring (Grafana. Prometheus, SNMP)</v>
      </c>
      <c r="B7" s="1" t="str">
        <v>Infra</v>
      </c>
      <c r="C7" s="1">
        <v>1</v>
      </c>
      <c r="D7" s="1"/>
      <c r="E7" s="1"/>
      <c r="F7" s="1"/>
      <c r="G7" s="1"/>
      <c r="H7" s="1"/>
      <c r="I7" s="1"/>
    </row>
    <row r="8" spans="1:9" x14ac:dyDescent="0.25">
      <c r="A8" s="1" t="str" cm="1">
        <f t="array" ref="A8:C8">'Overzicht alle opdrachten'!E8:G8</f>
        <v>OSPF (Multi) of BGP</v>
      </c>
      <c r="B8" s="1" t="str">
        <v>Infra</v>
      </c>
      <c r="C8" s="1">
        <v>3</v>
      </c>
      <c r="D8" s="1"/>
      <c r="E8" s="1"/>
      <c r="F8" s="1"/>
      <c r="G8" s="1"/>
      <c r="H8" s="1"/>
      <c r="I8" s="1"/>
    </row>
    <row r="9" spans="1:9" x14ac:dyDescent="0.25">
      <c r="A9" s="1" t="str" cm="1">
        <f t="array" ref="A9:C9">'Overzicht alle opdrachten'!E9:G9</f>
        <v>Proxy</v>
      </c>
      <c r="B9" s="1" t="str">
        <v>Infra</v>
      </c>
      <c r="C9" s="1">
        <v>2</v>
      </c>
      <c r="D9" s="1"/>
      <c r="E9" s="1"/>
      <c r="F9" s="1"/>
      <c r="G9" s="1"/>
      <c r="H9" s="1"/>
      <c r="I9" s="1"/>
    </row>
    <row r="10" spans="1:9" x14ac:dyDescent="0.25">
      <c r="A10" s="1" t="str" cm="1">
        <f t="array" ref="A10:C10">'Overzicht alle opdrachten'!E10:G10</f>
        <v>Security</v>
      </c>
      <c r="B10" s="1" t="str">
        <v>Infra</v>
      </c>
      <c r="C10" s="1">
        <v>1</v>
      </c>
      <c r="D10" s="1"/>
      <c r="E10" s="1"/>
      <c r="F10" s="1"/>
      <c r="G10" s="1"/>
      <c r="H10" s="1"/>
      <c r="I10" s="1"/>
    </row>
    <row r="11" spans="1:9" x14ac:dyDescent="0.25">
      <c r="A11" s="1" t="str" cm="1">
        <f t="array" ref="A11:C11">'Overzicht alle opdrachten'!E11:G11</f>
        <v>VRRP</v>
      </c>
      <c r="B11" s="1" t="str">
        <v>Infra</v>
      </c>
      <c r="C11" s="1">
        <v>2</v>
      </c>
      <c r="D11" s="1"/>
      <c r="E11" s="1"/>
      <c r="F11" s="1"/>
      <c r="G11" s="1"/>
      <c r="H11" s="1"/>
      <c r="I11" s="1"/>
    </row>
    <row r="12" spans="1:9" x14ac:dyDescent="0.25">
      <c r="A12" s="1" t="str" cm="1">
        <f t="array" ref="A12:C12">'Overzicht alle opdrachten'!E12:G12</f>
        <v>2e Mailserver</v>
      </c>
      <c r="B12" s="1" t="str">
        <v>Linux</v>
      </c>
      <c r="C12" s="1">
        <v>3</v>
      </c>
      <c r="D12" s="1"/>
      <c r="E12" s="1"/>
      <c r="F12" s="1"/>
      <c r="G12" s="1"/>
      <c r="H12" s="1"/>
      <c r="I12" s="1"/>
    </row>
    <row r="13" spans="1:9" x14ac:dyDescent="0.25">
      <c r="A13" s="1" t="str" cm="1">
        <f t="array" ref="A13:C13">'Overzicht alle opdrachten'!E13:G13</f>
        <v>Crontab</v>
      </c>
      <c r="B13" s="1" t="str">
        <v>Linux</v>
      </c>
      <c r="C13" s="1">
        <v>1</v>
      </c>
      <c r="D13" s="1"/>
      <c r="E13" s="1"/>
      <c r="F13" s="1"/>
      <c r="G13" s="1"/>
      <c r="H13" s="1"/>
      <c r="I13" s="1"/>
    </row>
    <row r="14" spans="1:9" x14ac:dyDescent="0.25">
      <c r="A14" s="1" t="str" cm="1">
        <f t="array" ref="A14:C14">'Overzicht alle opdrachten'!E14:G14</f>
        <v>DHCP op Linux</v>
      </c>
      <c r="B14" s="1" t="str">
        <v>Linux</v>
      </c>
      <c r="C14" s="1">
        <v>1</v>
      </c>
      <c r="D14" s="1"/>
      <c r="E14" s="1"/>
      <c r="F14" s="1"/>
      <c r="G14" s="1"/>
      <c r="H14" s="1"/>
      <c r="I14" s="1"/>
    </row>
    <row r="15" spans="1:9" x14ac:dyDescent="0.25">
      <c r="A15" s="1" t="str" cm="1">
        <f t="array" ref="A15:C15">'Overzicht alle opdrachten'!E15:G15</f>
        <v>DNS op Linux</v>
      </c>
      <c r="B15" s="1" t="str">
        <v>Linux</v>
      </c>
      <c r="C15" s="1">
        <v>1</v>
      </c>
      <c r="D15" s="1"/>
      <c r="E15" s="1"/>
      <c r="F15" s="1"/>
      <c r="G15" s="1"/>
      <c r="H15" s="1"/>
      <c r="I15" s="1"/>
    </row>
    <row r="16" spans="1:9" x14ac:dyDescent="0.25">
      <c r="A16" s="1" t="str" cm="1">
        <f t="array" ref="A16:C16">'Overzicht alle opdrachten'!E16:G16</f>
        <v>DNSSec Linux</v>
      </c>
      <c r="B16" s="1" t="str">
        <v>Linux</v>
      </c>
      <c r="C16" s="1">
        <v>3</v>
      </c>
      <c r="D16" s="1"/>
      <c r="E16" s="1"/>
      <c r="F16" s="1"/>
      <c r="G16" s="1"/>
      <c r="H16" s="1"/>
      <c r="I16" s="1"/>
    </row>
    <row r="17" spans="1:9" x14ac:dyDescent="0.25">
      <c r="A17" s="1" t="str" cm="1">
        <f t="array" ref="A17:C17">'Overzicht alle opdrachten'!E17:G17</f>
        <v>NFS op Linux</v>
      </c>
      <c r="B17" s="1" t="str">
        <v>Linux</v>
      </c>
      <c r="C17" s="1">
        <v>1</v>
      </c>
      <c r="D17" s="1"/>
      <c r="E17" s="1"/>
      <c r="F17" s="1"/>
      <c r="G17" s="1"/>
      <c r="H17" s="1"/>
      <c r="I17" s="1"/>
    </row>
    <row r="18" spans="1:9" x14ac:dyDescent="0.25">
      <c r="A18" s="1" t="str" cm="1">
        <f t="array" ref="A18:C18">'Overzicht alle opdrachten'!E18:G18</f>
        <v>SMB op Linux</v>
      </c>
      <c r="B18" s="1" t="str">
        <v>Linux</v>
      </c>
      <c r="C18" s="1">
        <v>1</v>
      </c>
      <c r="D18" s="1"/>
      <c r="E18" s="1"/>
      <c r="F18" s="1"/>
      <c r="G18" s="1"/>
      <c r="H18" s="1"/>
      <c r="I18" s="1"/>
    </row>
    <row r="19" spans="1:9" x14ac:dyDescent="0.25">
      <c r="A19" s="1" t="str" cm="1">
        <f t="array" ref="A19:C19">'Overzicht alle opdrachten'!E19:G19</f>
        <v>SSH public key</v>
      </c>
      <c r="B19" s="1" t="str">
        <v>Linux</v>
      </c>
      <c r="C19" s="1">
        <v>1</v>
      </c>
      <c r="D19" s="1"/>
      <c r="E19" s="1"/>
      <c r="F19" s="1"/>
      <c r="G19" s="1"/>
      <c r="H19" s="1"/>
      <c r="I19" s="1"/>
    </row>
    <row r="20" spans="1:9" x14ac:dyDescent="0.25">
      <c r="A20" s="1" t="str" cm="1">
        <f t="array" ref="A20:C20">'Overzicht alle opdrachten'!E20:G20</f>
        <v>Subdomein in Linux DNS</v>
      </c>
      <c r="B20" s="1" t="str">
        <v>Linux</v>
      </c>
      <c r="C20" s="1">
        <v>1</v>
      </c>
      <c r="D20" s="1"/>
      <c r="E20" s="1"/>
      <c r="F20" s="1"/>
      <c r="G20" s="1"/>
      <c r="H20" s="1"/>
      <c r="I20" s="1"/>
    </row>
    <row r="21" spans="1:9" x14ac:dyDescent="0.25">
      <c r="A21" s="1" t="str" cm="1">
        <f t="array" ref="A21:C21">'Overzicht alle opdrachten'!E21:G21</f>
        <v>DAC</v>
      </c>
      <c r="B21" s="1" t="str">
        <v>Windows</v>
      </c>
      <c r="C21" s="1">
        <v>2</v>
      </c>
      <c r="D21" s="1"/>
      <c r="E21" s="1"/>
      <c r="F21" s="1"/>
      <c r="G21" s="1"/>
      <c r="H21" s="1"/>
      <c r="I21" s="1"/>
    </row>
    <row r="22" spans="1:9" x14ac:dyDescent="0.25">
      <c r="A22" s="1" t="str" cm="1">
        <f t="array" ref="A22:C22">'Overzicht alle opdrachten'!E22:G22</f>
        <v>DNSSec Windows</v>
      </c>
      <c r="B22" s="1" t="str">
        <v>Windows</v>
      </c>
      <c r="C22" s="1">
        <v>1</v>
      </c>
      <c r="D22" s="1"/>
      <c r="E22" s="1"/>
      <c r="F22" s="1"/>
      <c r="G22" s="1"/>
      <c r="H22" s="1"/>
      <c r="I22" s="1"/>
    </row>
    <row r="23" spans="1:9" x14ac:dyDescent="0.25">
      <c r="A23" s="1" t="str" cm="1">
        <f t="array" ref="A23:C23">'Overzicht alle opdrachten'!E23:G23</f>
        <v>Eigen Certificate Autority (CA)</v>
      </c>
      <c r="B23" s="1" t="str">
        <v>Windows</v>
      </c>
      <c r="C23" s="1">
        <v>1</v>
      </c>
      <c r="D23" s="1"/>
      <c r="E23" s="1"/>
      <c r="F23" s="1"/>
      <c r="G23" s="1"/>
      <c r="H23" s="1"/>
      <c r="I23" s="1"/>
    </row>
    <row r="24" spans="1:9" x14ac:dyDescent="0.25">
      <c r="A24" s="1" t="str" cm="1">
        <f t="array" ref="A24:C24">'Overzicht alle opdrachten'!E24:G24</f>
        <v>RDP</v>
      </c>
      <c r="B24" s="1" t="str">
        <v>Windows</v>
      </c>
      <c r="C24" s="1">
        <v>1</v>
      </c>
      <c r="D24" s="1"/>
      <c r="E24" s="1"/>
      <c r="F24" s="1"/>
      <c r="G24" s="1"/>
      <c r="H24" s="1"/>
      <c r="I24" s="1"/>
    </row>
    <row r="25" spans="1:9" x14ac:dyDescent="0.25">
      <c r="A25" s="1" t="str" cm="1">
        <f t="array" ref="A25:C25">'Overzicht alle opdrachten'!E25:G25</f>
        <v>Subdomein in Windows Domein</v>
      </c>
      <c r="B25" s="1" t="str">
        <v>Windows</v>
      </c>
      <c r="C25" s="1">
        <v>1</v>
      </c>
      <c r="D25" s="1"/>
      <c r="E25" s="1"/>
      <c r="F25" s="1"/>
      <c r="G25" s="1"/>
      <c r="H25" s="1"/>
      <c r="I25" s="1"/>
    </row>
    <row r="26" spans="1:9" x14ac:dyDescent="0.25">
      <c r="A26" s="1" t="str" cm="1">
        <f t="array" ref="A26:C26">'Overzicht alle opdrachten'!E26:G26</f>
        <v>Load-balancer</v>
      </c>
      <c r="B26" s="1" t="str">
        <v>Windows / Linux</v>
      </c>
      <c r="C26" s="1">
        <v>1</v>
      </c>
      <c r="D26" s="1"/>
      <c r="E26" s="1"/>
      <c r="F26" s="1"/>
      <c r="G26" s="1"/>
      <c r="H26" s="1"/>
      <c r="I26" s="1"/>
    </row>
    <row r="27" spans="1:9" x14ac:dyDescent="0.25">
      <c r="A27" s="1" t="str" cm="1">
        <f t="array" ref="A27:C27">'Overzicht alle opdrachten'!E27:G27</f>
        <v>RAID / LVM</v>
      </c>
      <c r="B27" s="1" t="str">
        <v>Windows / Linux</v>
      </c>
      <c r="C27" s="1">
        <v>1</v>
      </c>
      <c r="D27" s="1"/>
      <c r="E27" s="1"/>
      <c r="F27" s="1"/>
      <c r="G27" s="1"/>
      <c r="H27" s="1"/>
      <c r="I27" s="1"/>
    </row>
    <row r="28" spans="1:9" x14ac:dyDescent="0.25">
      <c r="A28" s="1" t="str" cm="1">
        <f t="array" ref="A28:C28">'Overzicht alle opdrachten'!E28:G28</f>
        <v>Redundante DHCP</v>
      </c>
      <c r="B28" s="1" t="str">
        <v>Windows / Linux</v>
      </c>
      <c r="C28" s="1">
        <v>1</v>
      </c>
      <c r="D28" s="1"/>
      <c r="E28" s="1"/>
      <c r="F28" s="1"/>
      <c r="G28" s="1"/>
      <c r="H28" s="1"/>
      <c r="I28" s="1"/>
    </row>
    <row r="29" spans="1:9" x14ac:dyDescent="0.25">
      <c r="A29" s="1" t="str" cm="1">
        <f t="array" ref="A29:C29">'Overzicht alle opdrachten'!E29:G29</f>
        <v>Script</v>
      </c>
      <c r="B29" s="1" t="str">
        <v>Windows / Linux</v>
      </c>
      <c r="C29" s="1">
        <v>1</v>
      </c>
      <c r="D29" s="1"/>
      <c r="E29" s="1"/>
      <c r="F29" s="1"/>
      <c r="G29" s="1"/>
      <c r="H29" s="1"/>
      <c r="I29" s="1"/>
    </row>
    <row r="30" spans="1:9" x14ac:dyDescent="0.25">
      <c r="A30" s="1" t="str" cm="1">
        <f t="array" ref="A30:C30">'Overzicht alle opdrachten'!E30:G30</f>
        <v>VPN Site to Site</v>
      </c>
      <c r="B30" s="1" t="str">
        <v>Windows / Linux</v>
      </c>
      <c r="C30" s="1">
        <v>1</v>
      </c>
      <c r="D30" s="1"/>
      <c r="E30" s="1"/>
      <c r="F30" s="1"/>
      <c r="G30" s="1"/>
      <c r="H30" s="1"/>
      <c r="I30" s="1"/>
    </row>
    <row r="31" spans="1:9" x14ac:dyDescent="0.25">
      <c r="A31" s="1"/>
      <c r="B31" s="1" t="s">
        <v>86</v>
      </c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 t="s">
        <v>86</v>
      </c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 t="s">
        <v>86</v>
      </c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 t="s">
        <v>86</v>
      </c>
      <c r="C34" s="1"/>
      <c r="D34" s="1"/>
      <c r="E34" s="1"/>
      <c r="F34" s="1"/>
      <c r="G34" s="1"/>
      <c r="H34" s="1"/>
      <c r="I34" s="1"/>
    </row>
    <row r="35" spans="1:9" x14ac:dyDescent="0.25">
      <c r="D35">
        <f t="shared" ref="D35:I35" si="0">SUM(D2:D34)</f>
        <v>0</v>
      </c>
      <c r="E35">
        <f t="shared" si="0"/>
        <v>0</v>
      </c>
      <c r="F35">
        <f t="shared" si="0"/>
        <v>0</v>
      </c>
      <c r="G35">
        <f t="shared" si="0"/>
        <v>0</v>
      </c>
      <c r="H35">
        <f t="shared" si="0"/>
        <v>0</v>
      </c>
      <c r="I35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C24" sqref="C24"/>
    </sheetView>
  </sheetViews>
  <sheetFormatPr defaultRowHeight="15" x14ac:dyDescent="0.25"/>
  <cols>
    <col min="1" max="1" width="2.140625" customWidth="1"/>
    <col min="2" max="2" width="34" bestFit="1" customWidth="1"/>
    <col min="3" max="3" width="28.28515625" customWidth="1"/>
    <col min="4" max="4" width="2" customWidth="1"/>
    <col min="5" max="5" width="38.7109375" bestFit="1" customWidth="1"/>
    <col min="6" max="6" width="15.85546875" bestFit="1" customWidth="1"/>
  </cols>
  <sheetData>
    <row r="1" spans="1:7" x14ac:dyDescent="0.25">
      <c r="A1" s="1"/>
      <c r="B1" s="1" t="s">
        <v>0</v>
      </c>
      <c r="C1" s="1" t="s">
        <v>1</v>
      </c>
      <c r="D1" s="1"/>
      <c r="E1" s="1" t="s">
        <v>2</v>
      </c>
      <c r="F1" s="1" t="s">
        <v>1</v>
      </c>
      <c r="G1" s="1" t="s">
        <v>3</v>
      </c>
    </row>
    <row r="2" spans="1:7" x14ac:dyDescent="0.25">
      <c r="A2" s="1"/>
      <c r="B2" s="1" t="s">
        <v>4</v>
      </c>
      <c r="C2" s="1" t="s">
        <v>5</v>
      </c>
      <c r="D2" s="1"/>
      <c r="E2" s="1" t="s">
        <v>6</v>
      </c>
      <c r="F2" s="1" t="s">
        <v>7</v>
      </c>
      <c r="G2" s="1">
        <v>3</v>
      </c>
    </row>
    <row r="3" spans="1:7" x14ac:dyDescent="0.25">
      <c r="A3" s="1"/>
      <c r="B3" s="1" t="s">
        <v>8</v>
      </c>
      <c r="C3" s="1" t="s">
        <v>5</v>
      </c>
      <c r="D3" s="1"/>
      <c r="E3" s="1" t="s">
        <v>9</v>
      </c>
      <c r="F3" s="1" t="s">
        <v>7</v>
      </c>
      <c r="G3" s="1">
        <v>1</v>
      </c>
    </row>
    <row r="4" spans="1:7" x14ac:dyDescent="0.25">
      <c r="A4" s="1"/>
      <c r="B4" s="1" t="s">
        <v>10</v>
      </c>
      <c r="C4" s="1" t="s">
        <v>5</v>
      </c>
      <c r="D4" s="1"/>
      <c r="E4" s="1" t="s">
        <v>11</v>
      </c>
      <c r="F4" s="1" t="s">
        <v>7</v>
      </c>
      <c r="G4" s="1">
        <v>3</v>
      </c>
    </row>
    <row r="5" spans="1:7" x14ac:dyDescent="0.25">
      <c r="A5" s="1"/>
      <c r="B5" s="1" t="s">
        <v>12</v>
      </c>
      <c r="C5" s="1" t="s">
        <v>5</v>
      </c>
      <c r="D5" s="1"/>
      <c r="E5" s="1" t="s">
        <v>13</v>
      </c>
      <c r="F5" s="1" t="s">
        <v>7</v>
      </c>
      <c r="G5" s="1">
        <v>3</v>
      </c>
    </row>
    <row r="6" spans="1:7" x14ac:dyDescent="0.25">
      <c r="A6" s="1"/>
      <c r="B6" s="1" t="s">
        <v>14</v>
      </c>
      <c r="C6" s="1" t="s">
        <v>5</v>
      </c>
      <c r="D6" s="1"/>
      <c r="E6" s="1" t="s">
        <v>15</v>
      </c>
      <c r="F6" s="1" t="s">
        <v>7</v>
      </c>
      <c r="G6" s="1">
        <v>2</v>
      </c>
    </row>
    <row r="7" spans="1:7" x14ac:dyDescent="0.25">
      <c r="A7" s="1"/>
      <c r="B7" s="1" t="s">
        <v>16</v>
      </c>
      <c r="C7" s="1" t="s">
        <v>7</v>
      </c>
      <c r="D7" s="1"/>
      <c r="E7" s="1" t="s">
        <v>17</v>
      </c>
      <c r="F7" s="1" t="s">
        <v>7</v>
      </c>
      <c r="G7" s="1">
        <v>1</v>
      </c>
    </row>
    <row r="8" spans="1:7" x14ac:dyDescent="0.25">
      <c r="A8" s="1"/>
      <c r="B8" s="1" t="s">
        <v>18</v>
      </c>
      <c r="C8" s="1" t="s">
        <v>7</v>
      </c>
      <c r="D8" s="1"/>
      <c r="E8" s="1" t="s">
        <v>19</v>
      </c>
      <c r="F8" s="1" t="s">
        <v>7</v>
      </c>
      <c r="G8" s="1">
        <v>3</v>
      </c>
    </row>
    <row r="9" spans="1:7" x14ac:dyDescent="0.25">
      <c r="A9" s="1"/>
      <c r="B9" s="1" t="s">
        <v>20</v>
      </c>
      <c r="C9" s="1" t="s">
        <v>7</v>
      </c>
      <c r="D9" s="1"/>
      <c r="E9" s="1" t="s">
        <v>21</v>
      </c>
      <c r="F9" s="1" t="s">
        <v>7</v>
      </c>
      <c r="G9" s="1">
        <v>2</v>
      </c>
    </row>
    <row r="10" spans="1:7" x14ac:dyDescent="0.25">
      <c r="A10" s="1"/>
      <c r="B10" s="1" t="s">
        <v>22</v>
      </c>
      <c r="C10" s="1" t="s">
        <v>7</v>
      </c>
      <c r="D10" s="1"/>
      <c r="E10" s="1" t="s">
        <v>23</v>
      </c>
      <c r="F10" s="1" t="s">
        <v>7</v>
      </c>
      <c r="G10" s="1">
        <v>1</v>
      </c>
    </row>
    <row r="11" spans="1:7" x14ac:dyDescent="0.25">
      <c r="A11" s="1"/>
      <c r="B11" s="1" t="s">
        <v>24</v>
      </c>
      <c r="C11" s="1" t="s">
        <v>7</v>
      </c>
      <c r="D11" s="1"/>
      <c r="E11" s="1" t="s">
        <v>25</v>
      </c>
      <c r="F11" s="1" t="s">
        <v>7</v>
      </c>
      <c r="G11" s="1">
        <v>2</v>
      </c>
    </row>
    <row r="12" spans="1:7" x14ac:dyDescent="0.25">
      <c r="A12" s="1"/>
      <c r="B12" s="1" t="s">
        <v>26</v>
      </c>
      <c r="C12" s="1" t="s">
        <v>7</v>
      </c>
      <c r="D12" s="1"/>
      <c r="E12" s="1" t="s">
        <v>27</v>
      </c>
      <c r="F12" s="1" t="s">
        <v>28</v>
      </c>
      <c r="G12" s="1">
        <v>3</v>
      </c>
    </row>
    <row r="13" spans="1:7" x14ac:dyDescent="0.25">
      <c r="A13" s="1"/>
      <c r="B13" s="1" t="s">
        <v>29</v>
      </c>
      <c r="C13" s="1" t="s">
        <v>7</v>
      </c>
      <c r="D13" s="1"/>
      <c r="E13" s="1" t="s">
        <v>30</v>
      </c>
      <c r="F13" s="1" t="s">
        <v>28</v>
      </c>
      <c r="G13" s="1">
        <v>1</v>
      </c>
    </row>
    <row r="14" spans="1:7" x14ac:dyDescent="0.25">
      <c r="A14" s="1"/>
      <c r="B14" s="1" t="s">
        <v>31</v>
      </c>
      <c r="C14" s="1" t="s">
        <v>28</v>
      </c>
      <c r="D14" s="1"/>
      <c r="E14" s="1" t="s">
        <v>32</v>
      </c>
      <c r="F14" s="1" t="s">
        <v>28</v>
      </c>
      <c r="G14" s="1">
        <v>1</v>
      </c>
    </row>
    <row r="15" spans="1:7" x14ac:dyDescent="0.25">
      <c r="A15" s="1"/>
      <c r="B15" s="1" t="s">
        <v>33</v>
      </c>
      <c r="C15" s="1" t="s">
        <v>28</v>
      </c>
      <c r="D15" s="1"/>
      <c r="E15" s="1" t="s">
        <v>34</v>
      </c>
      <c r="F15" s="1" t="s">
        <v>28</v>
      </c>
      <c r="G15" s="1">
        <v>1</v>
      </c>
    </row>
    <row r="16" spans="1:7" x14ac:dyDescent="0.25">
      <c r="A16" s="1"/>
      <c r="B16" s="1" t="s">
        <v>35</v>
      </c>
      <c r="C16" s="1" t="s">
        <v>28</v>
      </c>
      <c r="D16" s="1"/>
      <c r="E16" s="1" t="s">
        <v>36</v>
      </c>
      <c r="F16" s="1" t="s">
        <v>28</v>
      </c>
      <c r="G16" s="1">
        <v>3</v>
      </c>
    </row>
    <row r="17" spans="1:7" x14ac:dyDescent="0.25">
      <c r="A17" s="1"/>
      <c r="B17" s="1" t="s">
        <v>37</v>
      </c>
      <c r="C17" s="1" t="s">
        <v>38</v>
      </c>
      <c r="D17" s="1"/>
      <c r="E17" s="1" t="s">
        <v>39</v>
      </c>
      <c r="F17" s="1" t="s">
        <v>28</v>
      </c>
      <c r="G17" s="1">
        <v>1</v>
      </c>
    </row>
    <row r="18" spans="1:7" x14ac:dyDescent="0.25">
      <c r="A18" s="1"/>
      <c r="B18" s="1" t="s">
        <v>40</v>
      </c>
      <c r="C18" s="1" t="s">
        <v>38</v>
      </c>
      <c r="D18" s="1"/>
      <c r="E18" s="1" t="s">
        <v>41</v>
      </c>
      <c r="F18" s="1" t="s">
        <v>28</v>
      </c>
      <c r="G18" s="1">
        <v>1</v>
      </c>
    </row>
    <row r="19" spans="1:7" x14ac:dyDescent="0.25">
      <c r="A19" s="1"/>
      <c r="B19" s="1" t="s">
        <v>42</v>
      </c>
      <c r="C19" s="1" t="s">
        <v>38</v>
      </c>
      <c r="D19" s="1"/>
      <c r="E19" s="1" t="s">
        <v>43</v>
      </c>
      <c r="F19" s="1" t="s">
        <v>28</v>
      </c>
      <c r="G19" s="1">
        <v>1</v>
      </c>
    </row>
    <row r="20" spans="1:7" x14ac:dyDescent="0.25">
      <c r="A20" s="1"/>
      <c r="B20" s="1" t="s">
        <v>44</v>
      </c>
      <c r="C20" s="1" t="s">
        <v>38</v>
      </c>
      <c r="D20" s="1"/>
      <c r="E20" s="1" t="s">
        <v>45</v>
      </c>
      <c r="F20" s="1" t="s">
        <v>28</v>
      </c>
      <c r="G20" s="1">
        <v>1</v>
      </c>
    </row>
    <row r="21" spans="1:7" x14ac:dyDescent="0.25">
      <c r="A21" s="1"/>
      <c r="B21" s="1" t="s">
        <v>46</v>
      </c>
      <c r="C21" s="1" t="s">
        <v>38</v>
      </c>
      <c r="D21" s="1"/>
      <c r="E21" s="1" t="s">
        <v>47</v>
      </c>
      <c r="F21" s="1" t="s">
        <v>38</v>
      </c>
      <c r="G21" s="1">
        <v>2</v>
      </c>
    </row>
    <row r="22" spans="1:7" x14ac:dyDescent="0.25">
      <c r="A22" s="1"/>
      <c r="B22" s="1" t="s">
        <v>48</v>
      </c>
      <c r="C22" s="1" t="s">
        <v>38</v>
      </c>
      <c r="D22" s="1"/>
      <c r="E22" s="1" t="s">
        <v>49</v>
      </c>
      <c r="F22" s="1" t="s">
        <v>38</v>
      </c>
      <c r="G22" s="1">
        <v>1</v>
      </c>
    </row>
    <row r="23" spans="1:7" x14ac:dyDescent="0.25">
      <c r="A23" s="1"/>
      <c r="B23" s="1" t="s">
        <v>50</v>
      </c>
      <c r="C23" s="1" t="s">
        <v>38</v>
      </c>
      <c r="D23" s="1"/>
      <c r="E23" s="1" t="s">
        <v>51</v>
      </c>
      <c r="F23" s="1" t="s">
        <v>38</v>
      </c>
      <c r="G23" s="1">
        <v>1</v>
      </c>
    </row>
    <row r="24" spans="1:7" x14ac:dyDescent="0.25">
      <c r="A24" s="1"/>
      <c r="B24" s="1" t="s">
        <v>52</v>
      </c>
      <c r="C24" s="1" t="s">
        <v>53</v>
      </c>
      <c r="D24" s="1"/>
      <c r="E24" s="1" t="s">
        <v>54</v>
      </c>
      <c r="F24" s="1" t="s">
        <v>38</v>
      </c>
      <c r="G24" s="1">
        <v>1</v>
      </c>
    </row>
    <row r="25" spans="1:7" x14ac:dyDescent="0.25">
      <c r="A25" s="1"/>
      <c r="B25" s="1"/>
      <c r="C25" s="1"/>
      <c r="D25" s="1"/>
      <c r="E25" s="1" t="s">
        <v>55</v>
      </c>
      <c r="F25" s="1" t="s">
        <v>38</v>
      </c>
      <c r="G25" s="1">
        <v>1</v>
      </c>
    </row>
    <row r="26" spans="1:7" x14ac:dyDescent="0.25">
      <c r="A26" s="1"/>
      <c r="B26" s="1"/>
      <c r="C26" s="1"/>
      <c r="D26" s="1"/>
      <c r="E26" s="1" t="s">
        <v>56</v>
      </c>
      <c r="F26" s="1" t="s">
        <v>53</v>
      </c>
      <c r="G26" s="1">
        <v>1</v>
      </c>
    </row>
    <row r="27" spans="1:7" x14ac:dyDescent="0.25">
      <c r="A27" s="1"/>
      <c r="B27" s="1"/>
      <c r="C27" s="1"/>
      <c r="D27" s="1"/>
      <c r="E27" s="1" t="s">
        <v>57</v>
      </c>
      <c r="F27" s="1" t="s">
        <v>53</v>
      </c>
      <c r="G27" s="1">
        <v>1</v>
      </c>
    </row>
    <row r="28" spans="1:7" x14ac:dyDescent="0.25">
      <c r="A28" s="1"/>
      <c r="B28" s="1"/>
      <c r="C28" s="1"/>
      <c r="D28" s="1"/>
      <c r="E28" s="1" t="s">
        <v>58</v>
      </c>
      <c r="F28" s="1" t="s">
        <v>53</v>
      </c>
      <c r="G28" s="1">
        <v>1</v>
      </c>
    </row>
    <row r="29" spans="1:7" x14ac:dyDescent="0.25">
      <c r="A29" s="1"/>
      <c r="B29" s="1"/>
      <c r="C29" s="1"/>
      <c r="D29" s="1"/>
      <c r="E29" s="1" t="s">
        <v>59</v>
      </c>
      <c r="F29" s="1" t="s">
        <v>53</v>
      </c>
      <c r="G29" s="1">
        <v>1</v>
      </c>
    </row>
    <row r="30" spans="1:7" x14ac:dyDescent="0.25">
      <c r="A30" s="1"/>
      <c r="B30" s="1"/>
      <c r="C30" s="1"/>
      <c r="D30" s="1"/>
      <c r="E30" s="1" t="s">
        <v>60</v>
      </c>
      <c r="F30" s="1" t="s">
        <v>53</v>
      </c>
      <c r="G30" s="1">
        <v>1</v>
      </c>
    </row>
  </sheetData>
  <sortState xmlns:xlrd2="http://schemas.microsoft.com/office/spreadsheetml/2017/richdata2" ref="E2:G30">
    <sortCondition ref="F2:F30"/>
    <sortCondition ref="E2:E30"/>
  </sortState>
  <conditionalFormatting sqref="G2:G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{B0DF7EFA-FCEC-44D7-A11C-6EA28168B277}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F7EFA-FCEC-44D7-A11C-6EA28168B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Teamopdracht</vt:lpstr>
      <vt:lpstr>Individuele opdrachtenpunten</vt:lpstr>
      <vt:lpstr>Overzicht alle opdrachten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</dc:creator>
  <cp:keywords/>
  <dc:description/>
  <cp:lastModifiedBy>David Vermeulen</cp:lastModifiedBy>
  <cp:revision/>
  <dcterms:created xsi:type="dcterms:W3CDTF">2015-06-05T18:17:20Z</dcterms:created>
  <dcterms:modified xsi:type="dcterms:W3CDTF">2025-04-11T15:46:43Z</dcterms:modified>
  <cp:category/>
  <cp:contentStatus/>
</cp:coreProperties>
</file>